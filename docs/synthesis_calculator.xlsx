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is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FF0000"/>
    </font>
    <font>
      <b val="1"/>
      <color rgb="0000B050"/>
      <sz val="16"/>
    </font>
  </fonts>
  <fills count="5">
    <fill>
      <patternFill/>
    </fill>
    <fill>
      <patternFill patternType="gray125"/>
    </fill>
    <fill>
      <patternFill patternType="solid">
        <fgColor rgb="00EBF1DE"/>
        <bgColor rgb="00EBF1DE"/>
      </patternFill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4" borderId="0" pivotButton="0" quotePrefix="0" xfId="0"/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5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Constants</t>
        </is>
      </c>
    </row>
    <row r="2">
      <c r="A2" t="inlineStr">
        <is>
          <t>Cost per Gear ($x)</t>
        </is>
      </c>
      <c r="B2" s="2" t="n">
        <v>7</v>
      </c>
    </row>
    <row r="3">
      <c r="A3" t="inlineStr">
        <is>
          <t>Cost per Area ($y)</t>
        </is>
      </c>
      <c r="B3" s="2" t="n">
        <v>0.1</v>
      </c>
    </row>
    <row r="4">
      <c r="A4" t="inlineStr">
        <is>
          <t>Cost per Slot ($z)</t>
        </is>
      </c>
      <c r="B4" s="2" t="n">
        <v>10</v>
      </c>
    </row>
    <row r="5">
      <c r="A5" t="inlineStr">
        <is>
          <t>Target Pos (H14)</t>
        </is>
      </c>
      <c r="B5" s="2" t="n">
        <v>26</v>
      </c>
    </row>
    <row r="8">
      <c r="A8" s="3" t="inlineStr">
        <is>
          <t>Gear ID</t>
        </is>
      </c>
      <c r="B8" s="3" t="inlineStr">
        <is>
          <t>Shaft Pos (cm)</t>
        </is>
      </c>
      <c r="C8" s="3" t="inlineStr">
        <is>
          <t>Radius (cm)</t>
        </is>
      </c>
      <c r="D8" s="3" t="inlineStr">
        <is>
          <t>Area (cm^2)</t>
        </is>
      </c>
      <c r="E8" s="3" t="inlineStr">
        <is>
          <t>Area Cost ($)</t>
        </is>
      </c>
      <c r="F8" s="3" t="inlineStr">
        <is>
          <t>Gear Cost ($)</t>
        </is>
      </c>
    </row>
    <row r="9">
      <c r="A9" s="4" t="n">
        <v>1</v>
      </c>
      <c r="B9" s="5" t="n">
        <v>0</v>
      </c>
      <c r="C9" s="5" t="n">
        <v>0.2857</v>
      </c>
      <c r="D9" s="6">
        <f>PI()*C9^2</f>
        <v/>
      </c>
      <c r="E9" s="6">
        <f>D9*$B$3</f>
        <v/>
      </c>
      <c r="F9" s="6">
        <f>IF(C9&gt;0, $B$2, 0)</f>
        <v/>
      </c>
    </row>
    <row r="10">
      <c r="A10" s="4" t="n">
        <v>2</v>
      </c>
      <c r="B10" s="5" t="n">
        <v>6</v>
      </c>
      <c r="C10" s="5" t="n">
        <v>5.7143</v>
      </c>
      <c r="D10" s="6">
        <f>PI()*C10^2</f>
        <v/>
      </c>
      <c r="E10" s="6">
        <f>D10*$B$3</f>
        <v/>
      </c>
      <c r="F10" s="6">
        <f>IF(C10&gt;0, $B$2, 0)</f>
        <v/>
      </c>
    </row>
    <row r="11">
      <c r="A11" s="4" t="n">
        <v>3</v>
      </c>
      <c r="B11" s="5" t="n">
        <v>12</v>
      </c>
      <c r="C11" s="5" t="n">
        <v>0.2857</v>
      </c>
      <c r="D11" s="6">
        <f>PI()*C11^2</f>
        <v/>
      </c>
      <c r="E11" s="6">
        <f>D11*$B$3</f>
        <v/>
      </c>
      <c r="F11" s="6">
        <f>IF(C11&gt;0, $B$2, 0)</f>
        <v/>
      </c>
    </row>
    <row r="12">
      <c r="A12" s="4" t="n">
        <v>4</v>
      </c>
      <c r="B12" s="5" t="n">
        <v>18</v>
      </c>
      <c r="C12" s="5" t="n">
        <v>5.7143</v>
      </c>
      <c r="D12" s="6">
        <f>PI()*C12^2</f>
        <v/>
      </c>
      <c r="E12" s="6">
        <f>D12*$B$3</f>
        <v/>
      </c>
      <c r="F12" s="6">
        <f>IF(C12&gt;0, $B$2, 0)</f>
        <v/>
      </c>
    </row>
    <row r="13">
      <c r="A13" s="4" t="n">
        <v>5</v>
      </c>
      <c r="B13" s="5" t="n">
        <v>26</v>
      </c>
      <c r="C13" s="5" t="n">
        <v>2.2857</v>
      </c>
      <c r="D13" s="6">
        <f>PI()*C13^2</f>
        <v/>
      </c>
      <c r="E13" s="6">
        <f>D13*$B$3</f>
        <v/>
      </c>
      <c r="F13" s="6">
        <f>IF(C13&gt;0, $B$2, 0)</f>
        <v/>
      </c>
    </row>
    <row r="15">
      <c r="D15" s="7" t="inlineStr">
        <is>
          <t>Subtotals:</t>
        </is>
      </c>
      <c r="E15" s="8">
        <f>SUM(E9:E13)</f>
        <v/>
      </c>
      <c r="F15" s="8">
        <f>SUM(F9:F13)</f>
        <v/>
      </c>
    </row>
    <row r="17">
      <c r="A17" t="inlineStr">
        <is>
          <t>Output Shaft Pos:</t>
        </is>
      </c>
      <c r="B17">
        <f>B13</f>
        <v/>
      </c>
      <c r="D17" s="9" t="inlineStr">
        <is>
          <t>TOTAL SCORE:</t>
        </is>
      </c>
      <c r="E17" s="10">
        <f>E15 + F15 + B19</f>
        <v/>
      </c>
    </row>
    <row r="18">
      <c r="A18" t="inlineStr">
        <is>
          <t>Slot Displacement:</t>
        </is>
      </c>
      <c r="B18">
        <f>B17-$B$5</f>
        <v/>
      </c>
    </row>
    <row r="19">
      <c r="A19" t="inlineStr">
        <is>
          <t>Slot Penalty ($):</t>
        </is>
      </c>
      <c r="B19" s="11">
        <f>$B$4 * ABS(B18)^3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2026-01-04T14:52:12Z</dcterms:created>
  <dcterms:modified xsi:type="dcterms:W3CDTF">2026-01-04T14:52:12Z</dcterms:modified>
</cp:coreProperties>
</file>